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7A539CB93A8A08/Документи/Звукові записи/"/>
    </mc:Choice>
  </mc:AlternateContent>
  <xr:revisionPtr revIDLastSave="45" documentId="8_{F9EC26A5-485E-479C-B2B0-2667462DE014}" xr6:coauthVersionLast="47" xr6:coauthVersionMax="47" xr10:uidLastSave="{2F92B4CA-469D-4765-A4A2-07045BB73957}"/>
  <bookViews>
    <workbookView xWindow="7226" yWindow="2229" windowWidth="16457" windowHeight="9454" xr2:uid="{48E57A01-79F4-EB4C-8618-C6B354A14A25}"/>
  </bookViews>
  <sheets>
    <sheet name="Лист2" sheetId="2" r:id="rId1"/>
    <sheet name="Лист1" sheetId="1" r:id="rId2"/>
    <sheet name="Останні операції" sheetId="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H10" i="2"/>
  <c r="H11" i="2"/>
  <c r="H12" i="2"/>
  <c r="H13" i="2"/>
  <c r="K13" i="2" s="1"/>
  <c r="H14" i="2"/>
  <c r="K14" i="2" s="1"/>
  <c r="H15" i="2"/>
  <c r="K15" i="2" s="1"/>
  <c r="H16" i="2"/>
  <c r="H17" i="2"/>
  <c r="H18" i="2"/>
  <c r="K18" i="2" s="1"/>
  <c r="H19" i="2"/>
  <c r="G19" i="2"/>
  <c r="G18" i="2"/>
  <c r="G17" i="2"/>
  <c r="G16" i="2"/>
  <c r="G15" i="2"/>
  <c r="G14" i="2"/>
  <c r="G13" i="2"/>
  <c r="G12" i="2"/>
  <c r="G11" i="2"/>
  <c r="G10" i="2"/>
  <c r="G8" i="2"/>
  <c r="C9" i="2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Z14" i="2"/>
  <c r="I12" i="2" s="1"/>
  <c r="Y14" i="2"/>
  <c r="I11" i="2" s="1"/>
  <c r="X14" i="2"/>
  <c r="I10" i="2" s="1"/>
  <c r="W14" i="2"/>
  <c r="I9" i="2" s="1"/>
  <c r="U14" i="2"/>
  <c r="I19" i="2" s="1"/>
  <c r="T14" i="2"/>
  <c r="I18" i="2" s="1"/>
  <c r="S14" i="2"/>
  <c r="I17" i="2" s="1"/>
  <c r="R14" i="2"/>
  <c r="I16" i="2" s="1"/>
  <c r="Q14" i="2"/>
  <c r="I15" i="2" s="1"/>
  <c r="P14" i="2"/>
  <c r="I14" i="2" s="1"/>
  <c r="O14" i="2"/>
  <c r="I13" i="2" s="1"/>
  <c r="V14" i="2"/>
  <c r="I8" i="2" s="1"/>
  <c r="H8" i="2" l="1"/>
  <c r="K8" i="2" s="1"/>
  <c r="V18" i="2" s="1"/>
  <c r="K11" i="2"/>
  <c r="K19" i="2"/>
  <c r="K12" i="2"/>
  <c r="K9" i="2"/>
  <c r="W18" i="2" s="1"/>
  <c r="K10" i="2"/>
  <c r="T18" i="2"/>
  <c r="K16" i="2"/>
  <c r="R18" i="2" s="1"/>
  <c r="K17" i="2"/>
  <c r="S18" i="2" s="1"/>
  <c r="U18" i="2"/>
  <c r="X18" i="2"/>
  <c r="O18" i="2"/>
  <c r="P18" i="2"/>
  <c r="Y18" i="2"/>
  <c r="Q18" i="2"/>
  <c r="Z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tc={9A35745D-AA64-412E-9BB7-80D993F88356}</author>
    <author>tc={57B9B566-3E9C-45FB-A4F5-D976209E968C}</author>
    <author>tc={89118A5C-2DAC-4BF3-A076-470978B16043}</author>
  </authors>
  <commentList>
    <comment ref="B4" authorId="0" shapeId="0" xr:uid="{9A35745D-AA64-412E-9BB7-80D993F88356}">
      <text>
        <t>[Ланцюжок приміток]
Ваша версія Excel дає змогу прочитати цей ланцюжок приміток, проте будь-які зміни в примітці буде вилучено, якщо відкрити цей файл у новішій версії Excel. Докладні відомості: https://go.microsoft.com/fwlink/?linkid=870924.
Примітка:
    Ця таблиця наразі розроблена таким чином, щоб показати: яке у нас буде становище, коли я, сам, один буду закривати сімейний бюджет. І також ще декілька передумов: 1) якщо мені будуть закривати по 18 днів бойових 2) за відсутності відпусток 3) ціни поточні.</t>
      </text>
    </comment>
    <comment ref="W7" authorId="1" shapeId="0" xr:uid="{57B9B566-3E9C-45FB-A4F5-D976209E968C}">
      <text>
        <t>[Ланцюжок приміток]
Ваша версія Excel дає змогу прочитати цей ланцюжок приміток, проте будь-які зміни в примітці буде вилучено, якщо відкрити цей файл у новішій версії Excel. Докладні відомості: https://go.microsoft.com/fwlink/?linkid=870924.
Примітка:
    Все що жовтим кольором виділено, потрібно змінити. Окрім таблички "Витрати на кожен місяць 2026 рік". Тут треба буде час від часу корегувати дані, взалежності від подальших змін.
Відповідь:
    Ось червоним текстом, я показую, які будуть заощадження, коли ми приблизно поділим витрати</t>
      </text>
    </comment>
    <comment ref="N18" authorId="2" shapeId="0" xr:uid="{89118A5C-2DAC-4BF3-A076-470978B16043}">
      <text>
        <t xml:space="preserve">[Ланцюжок приміток]
Ваша версія Excel дає змогу прочитати цей ланцюжок приміток, проте будь-які зміни в примітці буде вилучено, якщо відкрити цей файл у новішій версії Excel. Докладні відомості: https://go.microsoft.com/fwlink/?linkid=870924.
Примітка:
    За поточних умов, у нас може залишатись сума для заощадження в 50.000 грн. Це урахування всіх витрат (принаймні базових), у нас на себе залишатиметься загалом кругленька сума. З цієї суми ми маємо відкладати на наші плани та цілі. У такому випадку пропоную: 20.0000 грн, резерв. 30.000 грн відкладені чи на банку, чи на депозит, немає різниці.
Тобто, при таких розкладах, у нас є можливість не по 10.000 грн відкладати суто на себе, а аж 20.000 грн. Тобто мій прогноз ввельме приємний на наше з тобою майбутнє.
Але є велике але… Коли вже, ти, безпосередньо будеш заробляти стільки ж як я, то тоді у нам буде набагато простіше. Спроможність виросте в рази, а витрати залишаються такими самими (приблизно). Потрібно ще врахувати що й ти будеш скидатись на общак, але навіть з цим, це єдине що не ділиться навпіл. </t>
      </text>
    </comment>
  </commentList>
</comments>
</file>

<file path=xl/sharedStrings.xml><?xml version="1.0" encoding="utf-8"?>
<sst xmlns="http://schemas.openxmlformats.org/spreadsheetml/2006/main" count="40" uniqueCount="35">
  <si>
    <t>Розрахунок прибутку та витрат</t>
  </si>
  <si>
    <t>Г/з</t>
  </si>
  <si>
    <t>Премія</t>
  </si>
  <si>
    <t>Витрати</t>
  </si>
  <si>
    <t>Разом</t>
  </si>
  <si>
    <t>Місяць/перелік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</si>
  <si>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</si>
  <si>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</si>
  <si>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</si>
  <si>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</si>
  <si>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</si>
  <si>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</si>
  <si>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</si>
  <si>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</si>
  <si>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</si>
  <si>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</si>
  <si>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</si>
  <si>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</si>
  <si>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дата</t>
  </si>
  <si>
    <t xml:space="preserve">сума </t>
  </si>
  <si>
    <t>сума</t>
  </si>
  <si>
    <t>Квартира</t>
  </si>
  <si>
    <t>Продукти</t>
  </si>
  <si>
    <t>Проїзд</t>
  </si>
  <si>
    <t>Підписки</t>
  </si>
  <si>
    <t>Розваги</t>
  </si>
  <si>
    <t>Кредитка</t>
  </si>
  <si>
    <t>Інше</t>
  </si>
  <si>
    <t>Заощад.</t>
  </si>
  <si>
    <t>----</t>
  </si>
  <si>
    <t>виділення жовтим кольором, це інформація яку важливо зберегти для оновлення бази даних</t>
  </si>
  <si>
    <t>Витрати на кожен місяць  2026 рік</t>
  </si>
  <si>
    <t>Зверни увагу!</t>
  </si>
  <si>
    <t>дні × 3 333</t>
  </si>
  <si>
    <t>дні × 1 000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</si>
</sst>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₴&quot;_-;\-* #,##0.00\ &quot;₴&quot;_-;_-* &quot;-&quot;??\ &quot;₴&quot;_-;_-@_-"/>
    <numFmt numFmtId="164" formatCode="_-* #,##0.00\ [$₴-422]_-;\-* #,##0.00\ [$₴-422]_-;_-* &quot;-&quot;??\ [$₴-422]_-;_-@_-"/>
  </numFmts>
  <fonts count="18">
    <font>
      <sz val="12"/>
      <color theme="1"/>
      <name val="Century Gothic"/>
      <family val="2"/>
      <charset val="204"/>
      <scheme val="minor"/>
    </font>
    <font>
      <sz val="16"/>
      <color theme="1"/>
      <name val="Century Gothic"/>
      <family val="2"/>
      <charset val="204"/>
      <scheme val="minor"/>
    </font>
    <font>
      <sz val="20"/>
      <color theme="1"/>
      <name val="Century Gothic"/>
      <family val="2"/>
      <charset val="204"/>
      <scheme val="minor"/>
    </font>
    <font>
      <sz val="20"/>
      <color theme="1"/>
      <name val="Aptos Narrow (Основной текст)"/>
      <charset val="204"/>
    </font>
    <font>
      <b/>
      <sz val="20"/>
      <color theme="1"/>
      <name val="Aptos Narrow (Основной текст)"/>
      <charset val="204"/>
    </font>
    <font>
      <b/>
      <sz val="20"/>
      <color theme="1"/>
      <name val="Century Gothic"/>
      <family val="1"/>
      <scheme val="minor"/>
    </font>
    <font>
      <sz val="20"/>
      <color theme="1"/>
      <name val="Century Gothic"/>
      <family val="1"/>
      <scheme val="minor"/>
    </font>
    <font>
      <sz val="14"/>
      <color theme="1"/>
      <name val="Century Gothic"/>
      <family val="2"/>
      <charset val="204"/>
      <scheme val="minor"/>
    </font>
    <font>
      <b/>
      <i/>
      <sz val="20"/>
      <color theme="1"/>
      <name val="Century Gothic"/>
      <family val="1"/>
      <scheme val="minor"/>
    </font>
    <font>
      <sz val="28"/>
      <color theme="1"/>
      <name val="Aptos Narrow (Основной текст)"/>
      <charset val="204"/>
    </font>
    <font>
      <sz val="28"/>
      <color theme="1"/>
      <name val="Century Gothic"/>
      <family val="2"/>
      <charset val="204"/>
      <scheme val="minor"/>
    </font>
    <font>
      <sz val="12"/>
      <color theme="1"/>
      <name val="Century Gothic"/>
      <family val="2"/>
      <charset val="204"/>
      <scheme val="minor"/>
    </font>
    <font>
      <b/>
      <i/>
      <sz val="20"/>
      <color rgb="FFFF0000"/>
      <name val="Century Gothic"/>
      <family val="2"/>
      <scheme val="minor"/>
    </font>
    <font>
      <sz val="16"/>
      <color rgb="FFFF0000"/>
      <name val="Century Gothic"/>
      <family val="2"/>
      <scheme val="minor"/>
    </font>
    <font>
      <sz val="16"/>
      <color rgb="FFFF0000"/>
      <name val="Century Gothic"/>
      <family val="2"/>
      <charset val="204"/>
      <scheme val="minor"/>
    </font>
    <font>
      <sz val="22"/>
      <color theme="1" tint="4.9989318521683403E-2"/>
      <name val="Century Gothic"/>
      <family val="2"/>
      <scheme val="minor"/>
    </font>
    <font>
      <b/>
      <sz val="22"/>
      <color theme="1" tint="4.9989318521683403E-2"/>
      <name val="Century Gothic"/>
      <family val="2"/>
      <scheme val="minor"/>
    </font>
    <font>
      <b/>
      <sz val="20"/>
      <color theme="1"/>
      <name val="Century Gothic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88E8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2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4" borderId="0" xfId="0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8" fillId="2" borderId="14" xfId="0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/>
    </xf>
    <xf numFmtId="0" fontId="0" fillId="5" borderId="0" xfId="0" applyFill="1"/>
    <xf numFmtId="0" fontId="9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1" fillId="5" borderId="4" xfId="0" applyNumberFormat="1" applyFont="1" applyFill="1" applyBorder="1" applyAlignment="1">
      <alignment horizontal="right" vertical="center"/>
    </xf>
    <xf numFmtId="164" fontId="1" fillId="5" borderId="9" xfId="0" applyNumberFormat="1" applyFont="1" applyFill="1" applyBorder="1" applyAlignment="1">
      <alignment horizontal="right" vertical="center"/>
    </xf>
    <xf numFmtId="164" fontId="1" fillId="5" borderId="4" xfId="1" applyNumberFormat="1" applyFont="1" applyFill="1" applyBorder="1" applyAlignment="1">
      <alignment horizontal="right" vertical="center"/>
    </xf>
    <xf numFmtId="164" fontId="1" fillId="0" borderId="11" xfId="1" applyNumberFormat="1" applyFont="1" applyBorder="1" applyAlignment="1">
      <alignment horizontal="right" vertical="center"/>
    </xf>
    <xf numFmtId="164" fontId="1" fillId="0" borderId="12" xfId="1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/>
    </xf>
    <xf numFmtId="44" fontId="2" fillId="0" borderId="4" xfId="1" applyFont="1" applyBorder="1" applyAlignment="1">
      <alignment horizontal="right" vertical="center"/>
    </xf>
    <xf numFmtId="44" fontId="2" fillId="5" borderId="4" xfId="1" applyFont="1" applyFill="1" applyBorder="1" applyAlignment="1">
      <alignment horizontal="right" vertical="center"/>
    </xf>
    <xf numFmtId="164" fontId="0" fillId="0" borderId="0" xfId="0" applyNumberFormat="1"/>
    <xf numFmtId="44" fontId="0" fillId="0" borderId="0" xfId="1" applyFont="1"/>
    <xf numFmtId="44" fontId="1" fillId="0" borderId="4" xfId="1" applyFont="1" applyBorder="1" applyAlignment="1">
      <alignment horizontal="right" vertical="center"/>
    </xf>
    <xf numFmtId="44" fontId="1" fillId="0" borderId="9" xfId="1" applyFont="1" applyBorder="1" applyAlignment="1">
      <alignment horizontal="right" vertical="center"/>
    </xf>
    <xf numFmtId="44" fontId="1" fillId="0" borderId="8" xfId="1" applyFont="1" applyBorder="1" applyAlignment="1">
      <alignment horizontal="right" vertical="center"/>
    </xf>
    <xf numFmtId="164" fontId="1" fillId="5" borderId="12" xfId="1" applyNumberFormat="1" applyFont="1" applyFill="1" applyBorder="1" applyAlignment="1">
      <alignment horizontal="right" vertical="center"/>
    </xf>
    <xf numFmtId="164" fontId="1" fillId="6" borderId="4" xfId="1" applyNumberFormat="1" applyFont="1" applyFill="1" applyBorder="1" applyAlignment="1">
      <alignment horizontal="right" vertical="center"/>
    </xf>
    <xf numFmtId="164" fontId="1" fillId="6" borderId="4" xfId="0" applyNumberFormat="1" applyFont="1" applyFill="1" applyBorder="1" applyAlignment="1">
      <alignment horizontal="right" vertical="center"/>
    </xf>
    <xf numFmtId="0" fontId="8" fillId="2" borderId="19" xfId="0" applyFont="1" applyFill="1" applyBorder="1" applyAlignment="1">
      <alignment horizontal="center" vertical="center"/>
    </xf>
    <xf numFmtId="14" fontId="2" fillId="5" borderId="20" xfId="0" applyNumberFormat="1" applyFont="1" applyFill="1" applyBorder="1" applyAlignment="1">
      <alignment horizontal="center" vertical="center"/>
    </xf>
    <xf numFmtId="44" fontId="2" fillId="5" borderId="15" xfId="1" applyFont="1" applyFill="1" applyBorder="1" applyAlignment="1">
      <alignment horizontal="right" vertical="center"/>
    </xf>
    <xf numFmtId="14" fontId="2" fillId="6" borderId="20" xfId="0" applyNumberFormat="1" applyFont="1" applyFill="1" applyBorder="1" applyAlignment="1">
      <alignment horizontal="center" vertical="center"/>
    </xf>
    <xf numFmtId="44" fontId="2" fillId="0" borderId="15" xfId="1" applyFont="1" applyBorder="1" applyAlignment="1">
      <alignment horizontal="right" vertical="center"/>
    </xf>
    <xf numFmtId="14" fontId="2" fillId="6" borderId="7" xfId="0" applyNumberFormat="1" applyFont="1" applyFill="1" applyBorder="1" applyAlignment="1">
      <alignment horizontal="center" vertical="center"/>
    </xf>
    <xf numFmtId="44" fontId="2" fillId="0" borderId="9" xfId="1" applyFont="1" applyBorder="1" applyAlignment="1">
      <alignment horizontal="right" vertical="center"/>
    </xf>
    <xf numFmtId="44" fontId="2" fillId="0" borderId="8" xfId="1" applyFont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44" fontId="13" fillId="0" borderId="4" xfId="1" applyFont="1" applyBorder="1" applyAlignment="1">
      <alignment horizontal="right" vertical="center"/>
    </xf>
    <xf numFmtId="164" fontId="13" fillId="6" borderId="4" xfId="0" applyNumberFormat="1" applyFont="1" applyFill="1" applyBorder="1" applyAlignment="1">
      <alignment horizontal="right" vertical="center"/>
    </xf>
    <xf numFmtId="164" fontId="13" fillId="6" borderId="4" xfId="1" applyNumberFormat="1" applyFont="1" applyFill="1" applyBorder="1" applyAlignment="1">
      <alignment horizontal="right" vertical="center"/>
    </xf>
    <xf numFmtId="44" fontId="13" fillId="0" borderId="9" xfId="1" applyFont="1" applyBorder="1" applyAlignment="1">
      <alignment horizontal="right" vertical="center"/>
    </xf>
    <xf numFmtId="164" fontId="14" fillId="6" borderId="12" xfId="0" applyNumberFormat="1" applyFont="1" applyFill="1" applyBorder="1" applyAlignment="1">
      <alignment horizontal="right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2" fillId="6" borderId="4" xfId="0" applyNumberFormat="1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right" vertical="center"/>
    </xf>
    <xf numFmtId="164" fontId="2" fillId="0" borderId="9" xfId="1" applyNumberFormat="1" applyFont="1" applyFill="1" applyBorder="1" applyAlignment="1">
      <alignment horizontal="right" vertical="center"/>
    </xf>
    <xf numFmtId="14" fontId="2" fillId="6" borderId="11" xfId="0" applyNumberFormat="1" applyFont="1" applyFill="1" applyBorder="1" applyAlignment="1">
      <alignment horizontal="center" vertical="center"/>
    </xf>
    <xf numFmtId="44" fontId="2" fillId="0" borderId="12" xfId="1" applyFont="1" applyBorder="1" applyAlignment="1">
      <alignment horizontal="right" vertical="center"/>
    </xf>
    <xf numFmtId="14" fontId="2" fillId="6" borderId="12" xfId="0" applyNumberFormat="1" applyFont="1" applyFill="1" applyBorder="1" applyAlignment="1">
      <alignment horizontal="center" vertical="center"/>
    </xf>
    <xf numFmtId="1" fontId="2" fillId="8" borderId="12" xfId="0" applyNumberFormat="1" applyFont="1" applyFill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64" fontId="2" fillId="0" borderId="12" xfId="1" applyNumberFormat="1" applyFont="1" applyFill="1" applyBorder="1" applyAlignment="1">
      <alignment horizontal="right" vertical="center"/>
    </xf>
    <xf numFmtId="44" fontId="2" fillId="0" borderId="13" xfId="1" applyFont="1" applyBorder="1" applyAlignment="1">
      <alignment horizontal="right" vertical="center"/>
    </xf>
    <xf numFmtId="0" fontId="8" fillId="2" borderId="2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" fontId="2" fillId="8" borderId="9" xfId="0" applyNumberFormat="1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44" fontId="2" fillId="0" borderId="4" xfId="1" applyFont="1" applyBorder="1" applyAlignment="1">
      <alignment horizontal="right" vertical="center"/>
    </xf>
    <xf numFmtId="164" fontId="2" fillId="0" borderId="4" xfId="1" applyNumberFormat="1" applyFont="1" applyBorder="1" applyAlignment="1">
      <alignment horizontal="right" vertical="center"/>
    </xf>
    <xf numFmtId="44" fontId="2" fillId="0" borderId="9" xfId="1" applyFont="1" applyBorder="1" applyAlignment="1">
      <alignment horizontal="right" vertical="center"/>
    </xf>
    <xf numFmtId="44" fontId="2" fillId="0" borderId="12" xfId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44" fontId="2" fillId="5" borderId="16" xfId="1" applyFont="1" applyFill="1" applyBorder="1" applyAlignment="1">
      <alignment horizontal="right" vertical="center"/>
    </xf>
    <xf numFmtId="44" fontId="2" fillId="5" borderId="17" xfId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shrinkToFit="1"/>
    </xf>
    <xf numFmtId="0" fontId="8" fillId="2" borderId="23" xfId="0" applyFont="1" applyFill="1" applyBorder="1" applyAlignment="1">
      <alignment horizontal="center" vertical="center" shrinkToFit="1"/>
    </xf>
    <xf numFmtId="0" fontId="8" fillId="2" borderId="2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4" fontId="2" fillId="5" borderId="16" xfId="1" applyFont="1" applyFill="1" applyBorder="1" applyAlignment="1">
      <alignment horizontal="center" vertical="center"/>
    </xf>
    <xf numFmtId="44" fontId="2" fillId="5" borderId="17" xfId="1" applyFont="1" applyFill="1" applyBorder="1" applyAlignment="1">
      <alignment horizontal="center" vertical="center"/>
    </xf>
  </cellXfs>
  <cellStyles count="2">
    <cellStyle name="Грошовий" xfId="1" builtinId="4"/>
    <cellStyle name="Звичайний" xfId="0" builtinId="0"/>
  </cellStyles>
  <dxfs count="0"/>
  <tableStyles count="0" defaultTableStyle="TableStyleMedium2" defaultPivotStyle="PivotStyleLight16"/>
  <colors>
    <mruColors>
      <color rgb="FF88E892"/>
      <color rgb="FF3FE8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25</xdr:row>
      <xdr:rowOff>0</xdr:rowOff>
    </xdr:from>
    <xdr:to>
      <xdr:col>14</xdr:col>
      <xdr:colOff>249535</xdr:colOff>
      <xdr:row>27</xdr:row>
      <xdr:rowOff>72789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CC29954-A8B2-9E04-775D-D109EEA64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1" y="8045533"/>
          <a:ext cx="13934079" cy="1943151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Михайло Тулусяк" id="{B4D51E84-44AB-4174-8BD2-76899BA42FDB}" userId="0c7a539cb93a8a08" providerId="Windows Live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8-19T23:26:31.38" personId="{B4D51E84-44AB-4174-8BD2-76899BA42FDB}" id="{9A35745D-AA64-412E-9BB7-80D993F88356}">
    <text>Ця таблиця наразі розроблена таким чином, щоб показати: яке у нас буде становище, коли я, сам, один буду закривати сімейний бюджет. І також ще декілька передумов: 1) якщо мені будуть закривати по 18 днів бойових 2) за відсутності відпусток 3) ціни поточні.</text>
  </threadedComment>
  <threadedComment ref="W7" dT="2026-08-18T23:01:41.14" personId="{B4D51E84-44AB-4174-8BD2-76899BA42FDB}" id="{57B9B566-3E9C-45FB-A4F5-D976209E968C}">
    <text>Все що жовтим кольором виділено, потрібно змінити. Окрім таблички "Витрати на кожен місяць 2026 рік". Тут треба буде час від часу корегувати дані, взалежності від подальших змін.</text>
  </threadedComment>
  <threadedComment ref="W7" dT="2026-08-19T23:40:51.00" personId="{B4D51E84-44AB-4174-8BD2-76899BA42FDB}" id="{F30971F8-25B2-42CD-92D3-6536332709F4}" parentId="{57B9B566-3E9C-45FB-A4F5-D976209E968C}">
    <text>Ось червоним текстом, я показую, які будуть заощадження, коли ми приблизно поділим витрати</text>
  </threadedComment>
  <threadedComment ref="N18" dT="2026-08-19T23:37:17.67" personId="{B4D51E84-44AB-4174-8BD2-76899BA42FDB}" id="{89118A5C-2DAC-4BF3-A076-470978B16043}">
    <text xml:space="preserve">За поточних умов, у нас може залишатись сума для заощадження в 50.000 грн. Це урахування всіх витрат (принаймні базових), у нас на себе залишатиметься загалом кругленька сума. З цієї суми ми маємо відкладати на наші плани та цілі. У такому випадку пропоную: 20.0000 грн, резерв. 30.000 грн відкладені чи на банку, чи на депозит, немає різниці.
Тобто, при таких розкладах, у нас є можливість не по 10.000 грн відкладати суто на себе, а аж 20.000 грн. Тобто мій прогноз ввельме приємний на наше з тобою майбутнє.
Але є велике але… Коли вже, ти, безпосередньо будеш заробляти стільки ж як я, то тоді у нам буде набагато простіше. Спроможність виросте в рази, а витрати залишаються такими самими (приблизно). Потрібно ще врахувати що й ти будеш скидатись на общак, але навіть з цим, це єдине що не ділиться навпіл.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086A-1072-D740-9EE6-2F362B8FE83A}">
  <dimension ref="B3:Z29"/>
  <sheetViews>
    <sheetView tabSelected="1" zoomScale="56" zoomScaleNormal="55" workbookViewId="0">
      <selection activeCell="V7" sqref="V7"/>
    </sheetView>
  </sheetViews>
  <sheetFormatPr defaultColWidth="11" defaultRowHeight="15.45"/>
  <cols>
    <col min="2" max="2" width="11.4375" customWidth="1"/>
    <col min="3" max="3" width="16.5625" customWidth="1"/>
    <col min="4" max="4" width="20.5625" customWidth="1"/>
    <col min="5" max="5" width="24.125" customWidth="1"/>
    <col min="6" max="7" width="11.9375" customWidth="1"/>
    <col min="8" max="8" width="21.125" customWidth="1"/>
    <col min="10" max="10" width="12.4375" customWidth="1"/>
    <col min="11" max="11" width="22.4375" customWidth="1"/>
    <col min="12" max="12" width="8" customWidth="1"/>
    <col min="13" max="13" width="8.4375" customWidth="1"/>
    <col min="14" max="14" width="25.6875" customWidth="1"/>
    <col min="15" max="15" width="18.5625" customWidth="1"/>
    <col min="16" max="16" width="18.4375" customWidth="1"/>
    <col min="17" max="17" width="18.5625" customWidth="1"/>
    <col min="18" max="18" width="19.875" customWidth="1"/>
    <col min="19" max="19" width="19.6875" customWidth="1"/>
    <col min="20" max="21" width="18.5625" customWidth="1"/>
    <col min="22" max="22" width="17.6875" customWidth="1"/>
    <col min="23" max="23" width="18.5625" customWidth="1"/>
    <col min="24" max="24" width="19" customWidth="1"/>
    <col min="25" max="25" width="18.6875" customWidth="1"/>
    <col min="26" max="26" width="19.125" customWidth="1"/>
  </cols>
  <sheetData>
    <row r="3" spans="2:26" ht="15.9" thickBot="1"/>
    <row r="4" spans="2:26" ht="27" customHeight="1">
      <c r="B4" s="2"/>
      <c r="C4" s="87" t="s">
        <v>0</v>
      </c>
      <c r="D4" s="88"/>
      <c r="E4" s="88"/>
      <c r="F4" s="88"/>
      <c r="G4" s="88"/>
      <c r="H4" s="88"/>
      <c r="I4" s="88"/>
      <c r="J4" s="88"/>
      <c r="K4" s="89"/>
      <c r="N4" s="81" t="s">
        <v>31</v>
      </c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3"/>
    </row>
    <row r="5" spans="2:26" ht="15.9" thickBot="1">
      <c r="C5" s="90"/>
      <c r="D5" s="91"/>
      <c r="E5" s="91"/>
      <c r="F5" s="91"/>
      <c r="G5" s="91"/>
      <c r="H5" s="91"/>
      <c r="I5" s="91"/>
      <c r="J5" s="91"/>
      <c r="K5" s="92"/>
      <c r="N5" s="84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6"/>
    </row>
    <row r="6" spans="2:26" ht="25.3" thickBot="1">
      <c r="C6" s="93" t="s">
        <v>1</v>
      </c>
      <c r="D6" s="94"/>
      <c r="E6" s="95" t="s">
        <v>2</v>
      </c>
      <c r="F6" s="96"/>
      <c r="G6" s="96"/>
      <c r="H6" s="97"/>
      <c r="I6" s="95" t="s">
        <v>3</v>
      </c>
      <c r="J6" s="97"/>
      <c r="K6" s="64" t="s">
        <v>4</v>
      </c>
      <c r="N6" s="44" t="s">
        <v>5</v>
      </c>
      <c r="O6" s="44" t="s">
        <v>6</v>
      </c>
      <c r="P6" s="44" t="s">
        <v>7</v>
      </c>
      <c r="Q6" s="44" t="s">
        <v>8</v>
      </c>
      <c r="R6" s="44" t="s">
        <v>9</v>
      </c>
      <c r="S6" s="44" t="s">
        <v>10</v>
      </c>
      <c r="T6" s="44" t="s">
        <v>11</v>
      </c>
      <c r="U6" s="44" t="s">
        <v>12</v>
      </c>
      <c r="V6" s="44" t="s">
        <v>13</v>
      </c>
      <c r="W6" s="45" t="s">
        <v>14</v>
      </c>
      <c r="X6" s="44" t="s">
        <v>15</v>
      </c>
      <c r="Y6" s="44" t="s">
        <v>16</v>
      </c>
      <c r="Z6" s="44" t="s">
        <v>17</v>
      </c>
    </row>
    <row r="7" spans="2:26" ht="48.9">
      <c r="C7" s="65" t="s">
        <v>18</v>
      </c>
      <c r="D7" s="66" t="s">
        <v>19</v>
      </c>
      <c r="E7" s="66" t="s">
        <v>18</v>
      </c>
      <c r="F7" s="67" t="s">
        <v>33</v>
      </c>
      <c r="G7" s="67" t="s">
        <v>34</v>
      </c>
      <c r="H7" s="67" t="s">
        <v>20</v>
      </c>
      <c r="I7" s="98" t="s">
        <v>20</v>
      </c>
      <c r="J7" s="98"/>
      <c r="K7" s="68" t="s">
        <v>20</v>
      </c>
      <c r="N7" s="44" t="s">
        <v>21</v>
      </c>
      <c r="O7" s="30">
        <v>24000</v>
      </c>
      <c r="P7" s="30">
        <v>24000</v>
      </c>
      <c r="Q7" s="30">
        <v>24000</v>
      </c>
      <c r="R7" s="30">
        <v>24000</v>
      </c>
      <c r="S7" s="30">
        <v>24000</v>
      </c>
      <c r="T7" s="30">
        <v>24000</v>
      </c>
      <c r="U7" s="30">
        <v>24000</v>
      </c>
      <c r="V7" s="19">
        <v>8100</v>
      </c>
      <c r="W7" s="46">
        <v>14000</v>
      </c>
      <c r="X7" s="30">
        <v>24000</v>
      </c>
      <c r="Y7" s="30">
        <v>24000</v>
      </c>
      <c r="Z7" s="30">
        <v>24000</v>
      </c>
    </row>
    <row r="8" spans="2:26" ht="26.15">
      <c r="B8" s="29"/>
      <c r="C8" s="37">
        <v>46242</v>
      </c>
      <c r="D8" s="27">
        <v>21400</v>
      </c>
      <c r="E8" s="15">
        <v>46255</v>
      </c>
      <c r="F8" s="53">
        <v>5</v>
      </c>
      <c r="G8" s="54">
        <f>IF(F8="","",30-F8)</f>
        <v>25</v>
      </c>
      <c r="H8" s="55">
        <f>IF(F8="",42444,F8*3333+G8*1000)</f>
        <v>41665</v>
      </c>
      <c r="I8" s="99">
        <f>V14</f>
        <v>26125</v>
      </c>
      <c r="J8" s="100"/>
      <c r="K8" s="38">
        <f>D8+H8-H8*1.5%-I8</f>
        <v>36315.025000000001</v>
      </c>
      <c r="N8" s="44" t="s">
        <v>22</v>
      </c>
      <c r="O8" s="35">
        <v>10000</v>
      </c>
      <c r="P8" s="35">
        <v>10000</v>
      </c>
      <c r="Q8" s="35">
        <v>10000</v>
      </c>
      <c r="R8" s="35">
        <v>10000</v>
      </c>
      <c r="S8" s="35">
        <v>10000</v>
      </c>
      <c r="T8" s="35">
        <v>10000</v>
      </c>
      <c r="U8" s="35">
        <v>10000</v>
      </c>
      <c r="V8" s="19">
        <v>10000</v>
      </c>
      <c r="W8" s="47">
        <v>5000</v>
      </c>
      <c r="X8" s="35">
        <v>10000</v>
      </c>
      <c r="Y8" s="35">
        <v>10000</v>
      </c>
      <c r="Z8" s="35">
        <v>10000</v>
      </c>
    </row>
    <row r="9" spans="2:26" ht="26.15">
      <c r="B9" s="28"/>
      <c r="C9" s="37">
        <f>DATE(YEAR(C8), MONTH(C8)+1, DAY(C8))</f>
        <v>46273</v>
      </c>
      <c r="D9" s="27">
        <v>21400</v>
      </c>
      <c r="E9" s="15">
        <f>DATE(YEAR(E8),MONTH(E8)+1,DAY(E8))</f>
        <v>46286</v>
      </c>
      <c r="F9" s="53">
        <v>15</v>
      </c>
      <c r="G9" s="54">
        <f>IF(F9="","",30-F9)</f>
        <v>15</v>
      </c>
      <c r="H9" s="55">
        <f t="shared" ref="H9:H19" si="0">IF(F9="",71994,F9*3333+G9*1000)</f>
        <v>64995</v>
      </c>
      <c r="I9" s="79">
        <f>W14</f>
        <v>25500</v>
      </c>
      <c r="J9" s="80"/>
      <c r="K9" s="38">
        <f t="shared" ref="K9:K19" si="1">D9+H9-H9*1.5%-I9</f>
        <v>59920.074999999997</v>
      </c>
      <c r="N9" s="44" t="s">
        <v>23</v>
      </c>
      <c r="O9" s="30"/>
      <c r="P9" s="30"/>
      <c r="Q9" s="30"/>
      <c r="R9" s="30"/>
      <c r="S9" s="30"/>
      <c r="T9" s="30"/>
      <c r="U9" s="30"/>
      <c r="V9" s="19">
        <v>3000</v>
      </c>
      <c r="W9" s="47">
        <v>1500</v>
      </c>
      <c r="X9" s="30"/>
      <c r="Y9" s="30"/>
      <c r="Z9" s="30"/>
    </row>
    <row r="10" spans="2:26" ht="26.15">
      <c r="B10" s="28"/>
      <c r="C10" s="37">
        <f t="shared" ref="C10:C19" si="2">DATE(YEAR(C9), MONTH(C9)+1, DAY(C9))</f>
        <v>46303</v>
      </c>
      <c r="D10" s="27">
        <v>21400</v>
      </c>
      <c r="E10" s="15">
        <f t="shared" ref="E10:E19" si="3">DATE(YEAR(E9),MONTH(E9)+1,DAY(E9))</f>
        <v>46316</v>
      </c>
      <c r="F10" s="53">
        <v>18</v>
      </c>
      <c r="G10" s="54">
        <f t="shared" ref="G10:G19" si="4">IF(F10="","",30-F10)</f>
        <v>12</v>
      </c>
      <c r="H10" s="55">
        <f t="shared" si="0"/>
        <v>71994</v>
      </c>
      <c r="I10" s="79">
        <f>X14</f>
        <v>38239</v>
      </c>
      <c r="J10" s="80"/>
      <c r="K10" s="38">
        <f t="shared" si="1"/>
        <v>54075.09</v>
      </c>
      <c r="N10" s="44" t="s">
        <v>24</v>
      </c>
      <c r="O10" s="30"/>
      <c r="P10" s="30"/>
      <c r="Q10" s="30"/>
      <c r="R10" s="30"/>
      <c r="S10" s="30"/>
      <c r="T10" s="30"/>
      <c r="U10" s="30"/>
      <c r="V10" s="21">
        <v>2025</v>
      </c>
      <c r="W10" s="48">
        <v>1000</v>
      </c>
      <c r="X10" s="34">
        <v>1239</v>
      </c>
      <c r="Y10" s="34">
        <v>1239</v>
      </c>
      <c r="Z10" s="34">
        <v>1239</v>
      </c>
    </row>
    <row r="11" spans="2:26" ht="26.15">
      <c r="B11" s="28"/>
      <c r="C11" s="39">
        <f t="shared" si="2"/>
        <v>46334</v>
      </c>
      <c r="D11" s="26">
        <v>21400</v>
      </c>
      <c r="E11" s="52">
        <f t="shared" si="3"/>
        <v>46347</v>
      </c>
      <c r="F11" s="53">
        <v>18</v>
      </c>
      <c r="G11" s="54">
        <f t="shared" si="4"/>
        <v>12</v>
      </c>
      <c r="H11" s="55">
        <f t="shared" si="0"/>
        <v>71994</v>
      </c>
      <c r="I11" s="74">
        <f>Y14</f>
        <v>38239</v>
      </c>
      <c r="J11" s="74"/>
      <c r="K11" s="40">
        <f t="shared" si="1"/>
        <v>54075.09</v>
      </c>
      <c r="N11" s="44" t="s">
        <v>25</v>
      </c>
      <c r="O11" s="30"/>
      <c r="P11" s="30"/>
      <c r="Q11" s="30"/>
      <c r="R11" s="30"/>
      <c r="S11" s="30"/>
      <c r="T11" s="30"/>
      <c r="U11" s="30"/>
      <c r="V11" s="19"/>
      <c r="W11" s="46"/>
      <c r="X11" s="30"/>
      <c r="Y11" s="30"/>
      <c r="Z11" s="30"/>
    </row>
    <row r="12" spans="2:26" ht="26.15">
      <c r="B12" s="28"/>
      <c r="C12" s="39">
        <f t="shared" si="2"/>
        <v>46364</v>
      </c>
      <c r="D12" s="26">
        <v>21400</v>
      </c>
      <c r="E12" s="52">
        <f t="shared" si="3"/>
        <v>46377</v>
      </c>
      <c r="F12" s="53">
        <v>18</v>
      </c>
      <c r="G12" s="54">
        <f t="shared" si="4"/>
        <v>12</v>
      </c>
      <c r="H12" s="55">
        <f t="shared" si="0"/>
        <v>71994</v>
      </c>
      <c r="I12" s="74">
        <f>Z14</f>
        <v>38239</v>
      </c>
      <c r="J12" s="74"/>
      <c r="K12" s="40">
        <f t="shared" si="1"/>
        <v>54075.09</v>
      </c>
      <c r="N12" s="44" t="s">
        <v>26</v>
      </c>
      <c r="O12" s="30"/>
      <c r="P12" s="30"/>
      <c r="Q12" s="30"/>
      <c r="R12" s="30"/>
      <c r="S12" s="30"/>
      <c r="T12" s="30"/>
      <c r="U12" s="30"/>
      <c r="V12" s="19">
        <v>2000</v>
      </c>
      <c r="W12" s="46">
        <v>1000</v>
      </c>
      <c r="X12" s="30"/>
      <c r="Y12" s="30"/>
      <c r="Z12" s="3"/>
    </row>
    <row r="13" spans="2:26" ht="26.15">
      <c r="B13" s="28"/>
      <c r="C13" s="39">
        <f t="shared" si="2"/>
        <v>46395</v>
      </c>
      <c r="D13" s="26">
        <v>21400</v>
      </c>
      <c r="E13" s="52">
        <f t="shared" si="3"/>
        <v>46408</v>
      </c>
      <c r="F13" s="53">
        <v>18</v>
      </c>
      <c r="G13" s="54">
        <f t="shared" si="4"/>
        <v>12</v>
      </c>
      <c r="H13" s="55">
        <f t="shared" si="0"/>
        <v>71994</v>
      </c>
      <c r="I13" s="74">
        <f>O14</f>
        <v>37000</v>
      </c>
      <c r="J13" s="74"/>
      <c r="K13" s="40">
        <f t="shared" si="1"/>
        <v>55314.09</v>
      </c>
      <c r="N13" s="44" t="s">
        <v>27</v>
      </c>
      <c r="O13" s="30">
        <v>3000</v>
      </c>
      <c r="P13" s="30">
        <v>3000</v>
      </c>
      <c r="Q13" s="30">
        <v>3000</v>
      </c>
      <c r="R13" s="30">
        <v>3000</v>
      </c>
      <c r="S13" s="30">
        <v>3000</v>
      </c>
      <c r="T13" s="30">
        <v>3000</v>
      </c>
      <c r="U13" s="30">
        <v>3000</v>
      </c>
      <c r="V13" s="19">
        <v>1000</v>
      </c>
      <c r="W13" s="46">
        <v>3000</v>
      </c>
      <c r="X13" s="30">
        <v>3000</v>
      </c>
      <c r="Y13" s="30">
        <v>3000</v>
      </c>
      <c r="Z13" s="30">
        <v>3000</v>
      </c>
    </row>
    <row r="14" spans="2:26" ht="26.6" thickBot="1">
      <c r="B14" s="28"/>
      <c r="C14" s="39">
        <f t="shared" si="2"/>
        <v>46426</v>
      </c>
      <c r="D14" s="26">
        <v>21400</v>
      </c>
      <c r="E14" s="52">
        <f t="shared" si="3"/>
        <v>46439</v>
      </c>
      <c r="F14" s="53">
        <v>18</v>
      </c>
      <c r="G14" s="54">
        <f t="shared" si="4"/>
        <v>12</v>
      </c>
      <c r="H14" s="55">
        <f t="shared" si="0"/>
        <v>71994</v>
      </c>
      <c r="I14" s="74">
        <f>P14</f>
        <v>37000</v>
      </c>
      <c r="J14" s="74"/>
      <c r="K14" s="40">
        <f t="shared" si="1"/>
        <v>55314.09</v>
      </c>
      <c r="N14" s="36" t="s">
        <v>4</v>
      </c>
      <c r="O14" s="31">
        <f t="shared" ref="O14:Z14" si="5">SUM(O7:O13)</f>
        <v>37000</v>
      </c>
      <c r="P14" s="31">
        <f t="shared" si="5"/>
        <v>37000</v>
      </c>
      <c r="Q14" s="31">
        <f t="shared" si="5"/>
        <v>37000</v>
      </c>
      <c r="R14" s="31">
        <f t="shared" si="5"/>
        <v>37000</v>
      </c>
      <c r="S14" s="31">
        <f t="shared" si="5"/>
        <v>37000</v>
      </c>
      <c r="T14" s="31">
        <f t="shared" si="5"/>
        <v>37000</v>
      </c>
      <c r="U14" s="31">
        <f t="shared" si="5"/>
        <v>37000</v>
      </c>
      <c r="V14" s="20">
        <f t="shared" si="5"/>
        <v>26125</v>
      </c>
      <c r="W14" s="49">
        <f t="shared" si="5"/>
        <v>25500</v>
      </c>
      <c r="X14" s="31">
        <f t="shared" si="5"/>
        <v>38239</v>
      </c>
      <c r="Y14" s="31">
        <f t="shared" si="5"/>
        <v>38239</v>
      </c>
      <c r="Z14" s="32">
        <f t="shared" si="5"/>
        <v>38239</v>
      </c>
    </row>
    <row r="15" spans="2:26" ht="37" customHeight="1">
      <c r="B15" s="28"/>
      <c r="C15" s="39">
        <f t="shared" si="2"/>
        <v>46454</v>
      </c>
      <c r="D15" s="26">
        <v>21400</v>
      </c>
      <c r="E15" s="52">
        <f t="shared" si="3"/>
        <v>46467</v>
      </c>
      <c r="F15" s="53">
        <v>18</v>
      </c>
      <c r="G15" s="54">
        <f t="shared" si="4"/>
        <v>12</v>
      </c>
      <c r="H15" s="55">
        <f t="shared" si="0"/>
        <v>71994</v>
      </c>
      <c r="I15" s="74">
        <f>Q14</f>
        <v>37000</v>
      </c>
      <c r="J15" s="74"/>
      <c r="K15" s="40">
        <f t="shared" si="1"/>
        <v>55314.09</v>
      </c>
    </row>
    <row r="16" spans="2:26" ht="33.549999999999997" customHeight="1">
      <c r="B16" s="28"/>
      <c r="C16" s="39">
        <f t="shared" si="2"/>
        <v>46485</v>
      </c>
      <c r="D16" s="26">
        <v>21400</v>
      </c>
      <c r="E16" s="52">
        <f t="shared" si="3"/>
        <v>46498</v>
      </c>
      <c r="F16" s="53">
        <v>18</v>
      </c>
      <c r="G16" s="54">
        <f t="shared" si="4"/>
        <v>12</v>
      </c>
      <c r="H16" s="55">
        <f t="shared" si="0"/>
        <v>71994</v>
      </c>
      <c r="I16" s="74">
        <f>R14</f>
        <v>37000</v>
      </c>
      <c r="J16" s="74"/>
      <c r="K16" s="40">
        <f t="shared" si="1"/>
        <v>55314.09</v>
      </c>
    </row>
    <row r="17" spans="2:26" ht="46" customHeight="1" thickBot="1">
      <c r="B17" s="28"/>
      <c r="C17" s="39">
        <f t="shared" si="2"/>
        <v>46515</v>
      </c>
      <c r="D17" s="26">
        <v>21400</v>
      </c>
      <c r="E17" s="52">
        <f t="shared" si="3"/>
        <v>46528</v>
      </c>
      <c r="F17" s="53">
        <v>18</v>
      </c>
      <c r="G17" s="54">
        <f t="shared" si="4"/>
        <v>12</v>
      </c>
      <c r="H17" s="55">
        <f t="shared" si="0"/>
        <v>71994</v>
      </c>
      <c r="I17" s="75">
        <f>S14</f>
        <v>37000</v>
      </c>
      <c r="J17" s="75"/>
      <c r="K17" s="40">
        <f t="shared" si="1"/>
        <v>55314.09</v>
      </c>
    </row>
    <row r="18" spans="2:26" ht="46" customHeight="1" thickBot="1">
      <c r="B18" s="28"/>
      <c r="C18" s="41">
        <f t="shared" si="2"/>
        <v>46546</v>
      </c>
      <c r="D18" s="42">
        <v>21400</v>
      </c>
      <c r="E18" s="69">
        <f t="shared" si="3"/>
        <v>46559</v>
      </c>
      <c r="F18" s="70">
        <v>18</v>
      </c>
      <c r="G18" s="71">
        <f t="shared" si="4"/>
        <v>12</v>
      </c>
      <c r="H18" s="56">
        <f t="shared" si="0"/>
        <v>71994</v>
      </c>
      <c r="I18" s="76">
        <f>T14</f>
        <v>37000</v>
      </c>
      <c r="J18" s="76"/>
      <c r="K18" s="43">
        <f t="shared" si="1"/>
        <v>55314.09</v>
      </c>
      <c r="N18" s="14" t="s">
        <v>28</v>
      </c>
      <c r="O18" s="22">
        <f>K13</f>
        <v>55314.09</v>
      </c>
      <c r="P18" s="23">
        <f>K14</f>
        <v>55314.09</v>
      </c>
      <c r="Q18" s="23">
        <f>K15</f>
        <v>55314.09</v>
      </c>
      <c r="R18" s="23">
        <f>K16</f>
        <v>55314.09</v>
      </c>
      <c r="S18" s="23">
        <f>K17</f>
        <v>55314.09</v>
      </c>
      <c r="T18" s="23">
        <f>K18</f>
        <v>55314.09</v>
      </c>
      <c r="U18" s="23">
        <f>K19</f>
        <v>55314.09</v>
      </c>
      <c r="V18" s="33">
        <f>K8</f>
        <v>36315.025000000001</v>
      </c>
      <c r="W18" s="50">
        <f>K9</f>
        <v>59920.074999999997</v>
      </c>
      <c r="X18" s="24">
        <f>K10</f>
        <v>54075.09</v>
      </c>
      <c r="Y18" s="24">
        <f>K11</f>
        <v>54075.09</v>
      </c>
      <c r="Z18" s="25">
        <f>K12</f>
        <v>54075.09</v>
      </c>
    </row>
    <row r="19" spans="2:26" ht="48.55" customHeight="1" thickBot="1">
      <c r="C19" s="57">
        <f t="shared" si="2"/>
        <v>46576</v>
      </c>
      <c r="D19" s="58">
        <v>21400</v>
      </c>
      <c r="E19" s="59">
        <f t="shared" si="3"/>
        <v>46589</v>
      </c>
      <c r="F19" s="60">
        <v>18</v>
      </c>
      <c r="G19" s="61">
        <f t="shared" si="4"/>
        <v>12</v>
      </c>
      <c r="H19" s="62">
        <f t="shared" si="0"/>
        <v>71994</v>
      </c>
      <c r="I19" s="77">
        <f>U14</f>
        <v>37000</v>
      </c>
      <c r="J19" s="77"/>
      <c r="K19" s="63">
        <f t="shared" si="1"/>
        <v>55314.09</v>
      </c>
    </row>
    <row r="26" spans="2:26" ht="128.25" customHeight="1">
      <c r="B26" s="72" t="s">
        <v>32</v>
      </c>
      <c r="C26" s="73"/>
      <c r="D26" s="17" t="s">
        <v>29</v>
      </c>
      <c r="E26" s="78"/>
      <c r="F26" s="78"/>
      <c r="G26" s="78"/>
      <c r="H26" s="78"/>
      <c r="I26" s="78"/>
      <c r="J26" s="78"/>
      <c r="K26" s="78"/>
      <c r="L26" s="78"/>
      <c r="N26" s="51" t="b">
        <v>0</v>
      </c>
    </row>
    <row r="27" spans="2:26" ht="19.75">
      <c r="C27" s="4"/>
      <c r="D27" s="1"/>
      <c r="E27" s="1"/>
      <c r="F27" s="1"/>
      <c r="G27" s="1"/>
      <c r="H27" s="1"/>
      <c r="I27" s="1"/>
      <c r="J27" s="1"/>
    </row>
    <row r="29" spans="2:26" ht="110.25" customHeight="1">
      <c r="C29" s="16"/>
      <c r="D29" s="17" t="s">
        <v>29</v>
      </c>
      <c r="E29" s="18" t="s">
        <v>30</v>
      </c>
      <c r="F29" s="18"/>
      <c r="G29" s="18"/>
    </row>
  </sheetData>
  <mergeCells count="20">
    <mergeCell ref="I15:J15"/>
    <mergeCell ref="I9:J9"/>
    <mergeCell ref="I10:J10"/>
    <mergeCell ref="N4:Z5"/>
    <mergeCell ref="I14:J14"/>
    <mergeCell ref="C4:K5"/>
    <mergeCell ref="C6:D6"/>
    <mergeCell ref="E6:H6"/>
    <mergeCell ref="I6:J6"/>
    <mergeCell ref="I7:J7"/>
    <mergeCell ref="I8:J8"/>
    <mergeCell ref="I11:J11"/>
    <mergeCell ref="I12:J12"/>
    <mergeCell ref="I13:J13"/>
    <mergeCell ref="B26:C26"/>
    <mergeCell ref="I16:J16"/>
    <mergeCell ref="I17:J17"/>
    <mergeCell ref="I18:J18"/>
    <mergeCell ref="I19:J19"/>
    <mergeCell ref="E26:L26"/>
  </mergeCells>
  <conditionalFormatting sqref="N4:Z1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{A034C0F7-9F87-484E-A614-53A77808B706}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E815EE6-B8C9-4842-9AA8-292958AC333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I8:J19</xm:sqref>
        </x14:conditionalFormatting>
        <x14:conditionalFormatting xmlns:xm="http://schemas.microsoft.com/office/excel/2006/main">
          <x14:cfRule type="iconSet" priority="2" id="{5534D30E-9DCD-49DF-A145-D02C0ED6847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K8:K19</xm:sqref>
        </x14:conditionalFormatting>
        <x14:conditionalFormatting xmlns:xm="http://schemas.microsoft.com/office/excel/2006/main">
          <x14:cfRule type="dataBar" id="{A034C0F7-9F87-484E-A614-53A77808B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N4:Z14</xm:sqref>
        </x14:conditionalFormatting>
        <x14:conditionalFormatting xmlns:xm="http://schemas.microsoft.com/office/excel/2006/main">
          <x14:cfRule type="iconSet" priority="3" id="{A7531125-032D-4664-9DC7-632510221ED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O18:Z18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87B-709B-3244-B0FF-C53AE03721D0}">
  <dimension ref="F1:V101"/>
  <sheetViews>
    <sheetView topLeftCell="C1" workbookViewId="0">
      <selection activeCell="E1" sqref="E1:X28"/>
    </sheetView>
  </sheetViews>
  <sheetFormatPr defaultColWidth="11" defaultRowHeight="15.45"/>
  <cols>
    <col min="5" max="5" width="9.4375" customWidth="1"/>
    <col min="6" max="6" width="10.6875" customWidth="1"/>
    <col min="7" max="11" width="11.6875" customWidth="1"/>
    <col min="17" max="17" width="12" customWidth="1"/>
  </cols>
  <sheetData>
    <row r="1" ht="16" customHeight="1"/>
    <row r="3" ht="22" customHeight="1"/>
    <row r="5" ht="22" customHeight="1"/>
    <row r="7" ht="22" customHeight="1"/>
    <row r="13" ht="22" customHeight="1"/>
    <row r="16" ht="22" customHeight="1"/>
    <row r="58" spans="7:22" ht="16" customHeight="1">
      <c r="G58" s="12"/>
      <c r="H58" s="1"/>
      <c r="I58" s="1"/>
      <c r="J58" s="1"/>
      <c r="K58" s="1"/>
      <c r="L58" s="1"/>
      <c r="M58" s="1"/>
      <c r="P58" s="1"/>
      <c r="Q58" s="7"/>
      <c r="R58" s="7"/>
      <c r="S58" s="7"/>
      <c r="T58" s="7"/>
      <c r="U58" s="7"/>
      <c r="V58" s="7"/>
    </row>
    <row r="59" spans="7:22" ht="17.25" customHeight="1">
      <c r="G59" s="1"/>
      <c r="H59" s="1"/>
      <c r="I59" s="1"/>
      <c r="J59" s="1"/>
      <c r="K59" s="1"/>
      <c r="L59" s="1"/>
      <c r="M59" s="1"/>
      <c r="P59" s="1"/>
      <c r="Q59" s="7"/>
      <c r="R59" s="7"/>
      <c r="S59" s="7"/>
      <c r="T59" s="7"/>
      <c r="U59" s="7"/>
      <c r="V59" s="7"/>
    </row>
    <row r="60" spans="7:22" ht="26.15">
      <c r="G60" s="13"/>
      <c r="H60" s="13"/>
      <c r="I60" s="7"/>
      <c r="J60" s="7"/>
      <c r="K60" s="7"/>
      <c r="L60" s="7"/>
      <c r="M60" s="8"/>
      <c r="P60" s="1"/>
      <c r="Q60" s="9"/>
      <c r="R60" s="1"/>
      <c r="S60" s="1"/>
      <c r="T60" s="1"/>
      <c r="U60" s="1"/>
      <c r="V60" s="1"/>
    </row>
    <row r="61" spans="7:22" ht="28" customHeight="1">
      <c r="G61" s="2"/>
      <c r="H61" s="2"/>
      <c r="I61" s="2"/>
      <c r="J61" s="2"/>
      <c r="K61" s="2"/>
      <c r="L61" s="2"/>
      <c r="M61" s="2"/>
      <c r="P61" s="1"/>
      <c r="Q61" s="4"/>
      <c r="R61" s="1"/>
      <c r="S61" s="1"/>
      <c r="T61" s="1"/>
      <c r="U61" s="1"/>
      <c r="V61" s="1"/>
    </row>
    <row r="62" spans="7:22" ht="28" customHeight="1">
      <c r="G62" s="2"/>
      <c r="H62" s="2"/>
      <c r="I62" s="2"/>
      <c r="J62" s="2"/>
      <c r="K62" s="2"/>
      <c r="L62" s="2"/>
      <c r="M62" s="2"/>
      <c r="P62" s="1"/>
      <c r="Q62" s="4"/>
      <c r="R62" s="1"/>
      <c r="S62" s="1"/>
      <c r="T62" s="1"/>
      <c r="U62" s="1"/>
      <c r="V62" s="1"/>
    </row>
    <row r="63" spans="7:22" ht="26.15">
      <c r="G63" s="2"/>
      <c r="H63" s="2"/>
      <c r="I63" s="2"/>
      <c r="J63" s="2"/>
      <c r="K63" s="2"/>
      <c r="L63" s="2"/>
      <c r="M63" s="2"/>
      <c r="P63" s="1"/>
      <c r="Q63" s="4"/>
      <c r="R63" s="1"/>
      <c r="S63" s="1"/>
      <c r="T63" s="1"/>
      <c r="U63" s="1"/>
      <c r="V63" s="1"/>
    </row>
    <row r="64" spans="7:22" ht="26.15">
      <c r="G64" s="2"/>
      <c r="H64" s="2"/>
      <c r="I64" s="2"/>
      <c r="J64" s="2"/>
      <c r="K64" s="2"/>
      <c r="L64" s="2"/>
      <c r="M64" s="2"/>
      <c r="P64" s="1"/>
      <c r="Q64" s="4"/>
      <c r="R64" s="1"/>
      <c r="S64" s="1"/>
      <c r="T64" s="1"/>
      <c r="U64" s="1"/>
      <c r="V64" s="1"/>
    </row>
    <row r="65" spans="7:22" ht="26.15">
      <c r="G65" s="2"/>
      <c r="H65" s="2"/>
      <c r="J65" s="2"/>
      <c r="K65" s="2"/>
      <c r="L65" s="2"/>
      <c r="M65" s="2"/>
      <c r="P65" s="1"/>
      <c r="Q65" s="4"/>
      <c r="R65" s="1"/>
      <c r="S65" s="1"/>
      <c r="T65" s="1"/>
      <c r="U65" s="1"/>
      <c r="V65" s="1"/>
    </row>
    <row r="66" spans="7:22" ht="26.15">
      <c r="G66" s="2"/>
      <c r="H66" s="2"/>
      <c r="I66" s="2"/>
      <c r="J66" s="2"/>
      <c r="K66" s="2"/>
      <c r="L66" s="2"/>
      <c r="M66" s="2"/>
      <c r="P66" s="1"/>
      <c r="Q66" s="4"/>
      <c r="R66" s="1"/>
      <c r="S66" s="1"/>
      <c r="T66" s="1"/>
      <c r="U66" s="1"/>
      <c r="V66" s="1"/>
    </row>
    <row r="67" spans="7:22" ht="26.15">
      <c r="G67" s="2"/>
      <c r="H67" s="2"/>
      <c r="I67" s="2"/>
      <c r="J67" s="2"/>
      <c r="K67" s="2"/>
      <c r="L67" s="2"/>
      <c r="M67" s="2"/>
      <c r="P67" s="1"/>
      <c r="Q67" s="4"/>
      <c r="R67" s="1"/>
      <c r="S67" s="1"/>
      <c r="T67" s="1"/>
      <c r="U67" s="1"/>
      <c r="V67" s="1"/>
    </row>
    <row r="68" spans="7:22" ht="26.15">
      <c r="G68" s="2"/>
      <c r="H68" s="2"/>
      <c r="I68" s="2"/>
      <c r="J68" s="2"/>
      <c r="K68" s="2"/>
      <c r="L68" s="2"/>
      <c r="M68" s="2"/>
      <c r="P68" s="1"/>
      <c r="Q68" s="4"/>
      <c r="R68" s="1"/>
      <c r="S68" s="1"/>
      <c r="T68" s="1"/>
      <c r="U68" s="1"/>
      <c r="V68" s="1"/>
    </row>
    <row r="69" spans="7:22" ht="26.15">
      <c r="G69" s="2"/>
      <c r="H69" s="2"/>
      <c r="I69" s="2"/>
      <c r="J69" s="2"/>
      <c r="K69" s="2"/>
      <c r="L69" s="2"/>
      <c r="M69" s="2"/>
      <c r="P69" s="1"/>
      <c r="Q69" s="4"/>
      <c r="R69" s="1"/>
      <c r="S69" s="1"/>
      <c r="T69" s="1"/>
      <c r="U69" s="1"/>
      <c r="V69" s="1"/>
    </row>
    <row r="70" spans="7:22" ht="26.15">
      <c r="G70" s="2"/>
      <c r="H70" s="2"/>
      <c r="I70" s="2"/>
      <c r="J70" s="2"/>
      <c r="K70" s="2"/>
      <c r="L70" s="2"/>
      <c r="M70" s="2"/>
      <c r="P70" s="1"/>
      <c r="Q70" s="4"/>
      <c r="R70" s="1"/>
      <c r="S70" s="1"/>
      <c r="T70" s="1"/>
      <c r="U70" s="1"/>
      <c r="V70" s="1"/>
    </row>
    <row r="71" spans="7:22" ht="26.15">
      <c r="G71" s="2"/>
      <c r="H71" s="2"/>
      <c r="I71" s="2"/>
      <c r="J71" s="2"/>
      <c r="K71" s="2"/>
      <c r="L71" s="2"/>
      <c r="M71" s="2"/>
      <c r="P71" s="1"/>
      <c r="Q71" s="4"/>
      <c r="R71" s="1"/>
      <c r="S71" s="1"/>
      <c r="T71" s="1"/>
      <c r="U71" s="1"/>
      <c r="V71" s="1"/>
    </row>
    <row r="72" spans="7:22" ht="26.15">
      <c r="G72" s="2"/>
      <c r="H72" s="2"/>
      <c r="I72" s="2"/>
      <c r="J72" s="2"/>
      <c r="K72" s="2"/>
      <c r="L72" s="2"/>
      <c r="M72" s="2"/>
      <c r="P72" s="1"/>
      <c r="Q72" s="4"/>
      <c r="R72" s="1"/>
      <c r="S72" s="1"/>
      <c r="T72" s="1"/>
      <c r="U72" s="1"/>
      <c r="V72" s="1"/>
    </row>
    <row r="73" spans="7:22" ht="26.15">
      <c r="G73" s="2"/>
      <c r="H73" s="2"/>
      <c r="I73" s="2"/>
      <c r="J73" s="2"/>
      <c r="K73" s="2"/>
      <c r="L73" s="2"/>
      <c r="M73" s="2"/>
      <c r="Q73" s="5"/>
    </row>
    <row r="74" spans="7:22" ht="26.15">
      <c r="G74" s="2"/>
      <c r="H74" s="2"/>
      <c r="I74" s="2"/>
      <c r="J74" s="2"/>
      <c r="K74" s="2"/>
      <c r="L74" s="2"/>
      <c r="M74" s="2"/>
      <c r="Q74" s="5"/>
    </row>
    <row r="75" spans="7:22" ht="26.15">
      <c r="G75" s="2"/>
      <c r="H75" s="2"/>
      <c r="I75" s="2"/>
      <c r="J75" s="2"/>
      <c r="K75" s="2"/>
      <c r="L75" s="2"/>
      <c r="M75" s="2"/>
      <c r="Q75" s="5"/>
    </row>
    <row r="76" spans="7:22" ht="26.15">
      <c r="G76" s="2"/>
      <c r="H76" s="2"/>
      <c r="I76" s="2"/>
      <c r="J76" s="2"/>
      <c r="K76" s="2"/>
      <c r="L76" s="2"/>
      <c r="M76" s="2"/>
      <c r="Q76" s="5"/>
    </row>
    <row r="77" spans="7:22" ht="26.15">
      <c r="G77" s="2"/>
      <c r="H77" s="2"/>
      <c r="I77" s="2"/>
      <c r="J77" s="2"/>
      <c r="K77" s="2"/>
      <c r="L77" s="2"/>
      <c r="M77" s="2"/>
      <c r="Q77" s="5"/>
    </row>
    <row r="78" spans="7:22" ht="26.15">
      <c r="G78" s="2"/>
      <c r="H78" s="2"/>
      <c r="I78" s="2"/>
      <c r="J78" s="2"/>
      <c r="K78" s="2"/>
      <c r="L78" s="2"/>
      <c r="M78" s="2"/>
    </row>
    <row r="79" spans="7:22" ht="26.15">
      <c r="G79" s="2"/>
      <c r="H79" s="2"/>
      <c r="I79" s="2"/>
      <c r="J79" s="2"/>
      <c r="K79" s="2"/>
      <c r="L79" s="2"/>
      <c r="M79" s="2"/>
    </row>
    <row r="83" spans="7:19" ht="16" customHeight="1"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7:19" ht="16" customHeight="1"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7:19" ht="57" customHeight="1"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7:19" ht="19.75">
      <c r="G86" s="4"/>
      <c r="H86" s="1"/>
      <c r="I86" s="1"/>
      <c r="J86" s="1"/>
      <c r="K86" s="1"/>
      <c r="L86" s="1"/>
    </row>
    <row r="87" spans="7:19" ht="19.75">
      <c r="G87" s="4"/>
      <c r="H87" s="1"/>
      <c r="I87" s="1"/>
      <c r="J87" s="1"/>
      <c r="K87" s="1"/>
      <c r="L87" s="1"/>
    </row>
    <row r="88" spans="7:19" ht="19.75">
      <c r="G88" s="4"/>
      <c r="H88" s="1"/>
      <c r="I88" s="1"/>
      <c r="J88" s="1"/>
      <c r="K88" s="1"/>
      <c r="L88" s="1"/>
    </row>
    <row r="89" spans="7:19" ht="19.75">
      <c r="G89" s="4"/>
      <c r="H89" s="1"/>
      <c r="I89" s="1"/>
      <c r="J89" s="1"/>
      <c r="K89" s="1"/>
      <c r="L89" s="1"/>
    </row>
    <row r="90" spans="7:19" ht="19.75">
      <c r="G90" s="4"/>
      <c r="H90" s="1"/>
      <c r="I90" s="1"/>
      <c r="J90" s="1"/>
      <c r="K90" s="1"/>
      <c r="L90" s="1"/>
    </row>
    <row r="91" spans="7:19" ht="19.75">
      <c r="G91" s="4"/>
      <c r="H91" s="1"/>
      <c r="I91" s="1"/>
      <c r="J91" s="1"/>
      <c r="K91" s="1"/>
      <c r="L91" s="1"/>
    </row>
    <row r="92" spans="7:19" ht="19.75">
      <c r="G92" s="4"/>
      <c r="H92" s="1"/>
      <c r="I92" s="1"/>
      <c r="J92" s="1"/>
      <c r="K92" s="1"/>
      <c r="L92" s="1"/>
    </row>
    <row r="93" spans="7:19" ht="24.9">
      <c r="G93" s="11"/>
      <c r="H93" s="1"/>
      <c r="I93" s="1"/>
      <c r="J93" s="1"/>
      <c r="K93" s="1"/>
      <c r="L93" s="1"/>
    </row>
    <row r="94" spans="7:19" ht="19.75">
      <c r="G94" s="4"/>
      <c r="H94" s="1"/>
      <c r="I94" s="1"/>
      <c r="J94" s="1"/>
      <c r="K94" s="1"/>
      <c r="L94" s="1"/>
    </row>
    <row r="96" spans="7:19" ht="16" customHeight="1"/>
    <row r="97" spans="6:13" ht="26.25" customHeight="1">
      <c r="F97" s="5"/>
      <c r="G97" s="5"/>
    </row>
    <row r="98" spans="6:13" ht="17.25" customHeight="1"/>
    <row r="100" spans="6:13" ht="22" customHeight="1"/>
    <row r="101" spans="6:13">
      <c r="M101" s="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Дата</t>
        </is>
      </c>
      <c r="C1" t="inlineStr">
        <is>
          <t>Тип</t>
        </is>
      </c>
      <c r="D1" t="inlineStr">
        <is>
          <t>Категорія</t>
        </is>
      </c>
      <c r="E1" t="inlineStr">
        <is>
          <t>Сума</t>
        </is>
      </c>
      <c r="F1" t="inlineStr">
        <is>
          <t>Учасник</t>
        </is>
      </c>
      <c r="G1" t="inlineStr">
        <is>
          <t>Коментар</t>
        </is>
      </c>
    </row>
    <row r="2">
      <c r="A2" t="inlineStr">
        <is>
          <t>14b35611-5463-4f15-955c-6fd5a7e24d75</t>
        </is>
      </c>
      <c r="B2" t="inlineStr">
        <is>
          <t>2026-08-22</t>
        </is>
      </c>
      <c r="C2" t="inlineStr">
        <is>
          <t>Дохід</t>
        </is>
      </c>
      <c r="D2" t="inlineStr">
        <is>
          <t>Інше</t>
        </is>
      </c>
      <c r="E2" t="inlineStr">
        <is>
          <t>17000</t>
        </is>
      </c>
      <c r="F2" t="inlineStr">
        <is>
          <t>Михайло</t>
        </is>
      </c>
      <c r="G2" t="inlineStr">
        <is>
          <t>кукукук</t>
        </is>
      </c>
    </row>
    <row r="3">
      <c r="A3" t="inlineStr">
        <is>
          <t>3</t>
        </is>
      </c>
      <c r="B3" t="inlineStr">
        <is>
          <t>2026-08-08</t>
        </is>
      </c>
      <c r="C3" t="inlineStr">
        <is>
          <t>Дохід</t>
        </is>
      </c>
      <c r="D3" t="inlineStr">
        <is>
          <t>Зарплата</t>
        </is>
      </c>
      <c r="E3" t="inlineStr">
        <is>
          <t>21400</t>
        </is>
      </c>
      <c r="F3" t="inlineStr">
        <is>
          <t>Михайло</t>
        </is>
      </c>
      <c r="G3" t="inlineStr">
        <is>
          <t/>
        </is>
      </c>
    </row>
    <row r="4">
      <c r="A4" t="inlineStr">
        <is>
          <t>2</t>
        </is>
      </c>
      <c r="B4" t="inlineStr">
        <is>
          <t>2026-08-03</t>
        </is>
      </c>
      <c r="C4" t="inlineStr">
        <is>
          <t>Витрата</t>
        </is>
      </c>
      <c r="D4" t="inlineStr">
        <is>
          <t>Продукти</t>
        </is>
      </c>
      <c r="E4" t="inlineStr">
        <is>
          <t>2450</t>
        </is>
      </c>
      <c r="F4" t="inlineStr">
        <is>
          <t>Сім’я</t>
        </is>
      </c>
      <c r="G4" t="inlineStr">
        <is>
          <t/>
        </is>
      </c>
    </row>
    <row r="5">
      <c r="A5" t="inlineStr">
        <is>
          <t>1</t>
        </is>
      </c>
      <c r="B5" t="inlineStr">
        <is>
          <t>2026-08-01</t>
        </is>
      </c>
      <c r="C5" t="inlineStr">
        <is>
          <t>Витрата</t>
        </is>
      </c>
      <c r="D5" t="inlineStr">
        <is>
          <t>Квартира</t>
        </is>
      </c>
      <c r="E5" t="inlineStr">
        <is>
          <t>8100</t>
        </is>
      </c>
      <c r="F5" t="inlineStr">
        <is>
          <t>Михайло</t>
        </is>
      </c>
      <c r="G5" t="inlineStr">
        <is>
          <t/>
        </is>
      </c>
    </row>
  </sheetData>
  <autoFilter ref="A1:G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Юлія Тулусяк</dc:creator>
  <cp:keywords/>
  <dc:description/>
  <cp:lastModifiedBy>Михайло Тулусяк</cp:lastModifiedBy>
  <cp:revision/>
  <dcterms:created xsi:type="dcterms:W3CDTF">2026-02-27T17:34:26Z</dcterms:created>
  <dcterms:modified xsi:type="dcterms:W3CDTF">2026-08-22T01:39:23Z</dcterms:modified>
  <cp:category/>
  <cp:contentStatus/>
</cp:coreProperties>
</file>